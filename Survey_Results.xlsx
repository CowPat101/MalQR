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11"/>
  <workbookPr/>
  <mc:AlternateContent xmlns:mc="http://schemas.openxmlformats.org/markup-compatibility/2006">
    <mc:Choice Requires="x15">
      <x15ac:absPath xmlns:x15ac="http://schemas.microsoft.com/office/spreadsheetml/2010/11/ac" url="C:\Users\qinzen\Downloads\"/>
    </mc:Choice>
  </mc:AlternateContent>
  <xr:revisionPtr revIDLastSave="35" documentId="13_ncr:1_{AD74628D-BE06-4FC1-BE04-2187DD70E9AC}" xr6:coauthVersionLast="47" xr6:coauthVersionMax="47" xr10:uidLastSave="{C0BB369E-388A-42AA-86DD-3E55A194186F}"/>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 l="1"/>
  <c r="H28" i="1"/>
  <c r="H27" i="1"/>
  <c r="P24" i="1" a="1"/>
  <c r="P24" i="1" s="1"/>
  <c r="N24" i="1" a="1"/>
  <c r="N24" i="1" s="1"/>
  <c r="L24" i="1" a="1"/>
  <c r="L24" i="1" s="1"/>
  <c r="J24" i="1" a="1"/>
  <c r="J24" i="1" s="1"/>
  <c r="H24" i="1" a="1"/>
  <c r="H24" i="1"/>
  <c r="M24" i="1"/>
  <c r="K24" i="1"/>
  <c r="I24" i="1"/>
  <c r="G24" i="1"/>
  <c r="I23" i="1"/>
  <c r="K23" i="1"/>
  <c r="M23" i="1"/>
  <c r="O23" i="1"/>
  <c r="G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<sst xmlns="http://schemas.openxmlformats.org/spreadsheetml/2006/main" count="80" uniqueCount="40">
  <si>
    <t>Id</t>
  </si>
  <si>
    <t>Start time</t>
  </si>
  <si>
    <t>Completion time</t>
  </si>
  <si>
    <t>Email</t>
  </si>
  <si>
    <t>Name</t>
  </si>
  <si>
    <t xml:space="preserve">What is the research about?
We invite you to participate in a research project about analyzing how best to extract features from a QR code to determine if the embedded content within is malicious or </t>
  </si>
  <si>
    <t>I think that I would like to use this app frequently. 1 - Strongly Disagree, 5 - Strongly Agree</t>
  </si>
  <si>
    <t xml:space="preserve">I found the app unnecessarily complex. 1 - Strongly Disagree, 5 - Strongly Agree
</t>
  </si>
  <si>
    <t xml:space="preserve">I thought the app was easy to use. 1 - Strongly Disagree, 5 - Strongly Agree
</t>
  </si>
  <si>
    <t xml:space="preserve">I think that I would need the support of a technical person to be able to use this app. 1 - Strongly Disagree, 5 - Strongly Agree
</t>
  </si>
  <si>
    <t xml:space="preserve">I found the various functions in this app were well integrated. 1 - Strongly Disagree, 5 - Strongly Agree
</t>
  </si>
  <si>
    <t xml:space="preserve">I thought there was too much inconsistency in this app. 1 - Strongly Disagree, 5 - Strongly Agree
</t>
  </si>
  <si>
    <t xml:space="preserve">I would imagine that most people would learn to use this app very quickly. 1 - Strongly Disagree, 5 - Strongly Agree
</t>
  </si>
  <si>
    <t xml:space="preserve">I found the app very slow to use. 1 - Strongly Disagree, 5 - Strongly Agree
</t>
  </si>
  <si>
    <t xml:space="preserve">I felt very confident using the app. 1 - Strongly Disagree, 5 - Strongly Agree
</t>
  </si>
  <si>
    <t xml:space="preserve">I needed to learn a lot of things before I could get going with this app. 1 - Strongly Disagree, 5 - Strongly Agree
</t>
  </si>
  <si>
    <t>Did the time to scan a QR code affect your patience? 1 - Strongly Disagree, 5 - Strongly Agree</t>
  </si>
  <si>
    <t>Are the colours used within the app easy to view? 1 - Strongly Disagree, 5 - Strongly Agree</t>
  </si>
  <si>
    <t>Do you understand the purpose behind the colour choices in the app? 1 - Strongly Disagree, 5 - Strongly Agree</t>
  </si>
  <si>
    <t>Do you understand the purpose and various features within the app?  1 - Strongly Disagree, 5 - Strongly Agree</t>
  </si>
  <si>
    <t>Does the additional information about the website's contents add value to the app? 1 - Strongly Disagree, 5 - Strongly Agree </t>
  </si>
  <si>
    <t>Would you use this app in everyday life? 1 - Strongly Disagree, 5 - Strongly Agree </t>
  </si>
  <si>
    <t>Any additional comments?</t>
  </si>
  <si>
    <t>anonymous</t>
  </si>
  <si>
    <t>I consent</t>
  </si>
  <si>
    <t>I think the Red Cross should be more prominent and the ‘content is most likely malicious’ statement should be in red and flash.</t>
  </si>
  <si>
    <t>The colours (brown and red) are often associated with poo and blood. Would recommend perhaps softer shade of brown. Also clearer red and green.  The information was excellent and of value to someone who is interested in cyber security, however generally people may not need as much detailed info.</t>
  </si>
  <si>
    <t xml:space="preserve">Very easy to use and very functional and I could see myself making use of the features on a regular basis </t>
  </si>
  <si>
    <t>This app is very cool! I enjoy how it provides information as to why it thinks a website is malicious/not-malicious :)</t>
  </si>
  <si>
    <t>Goodtrips</t>
  </si>
  <si>
    <t xml:space="preserve">amazing </t>
  </si>
  <si>
    <t>slay</t>
  </si>
  <si>
    <t xml:space="preserve">next mark zuckerburg </t>
  </si>
  <si>
    <t xml:space="preserve">Very well executed </t>
  </si>
  <si>
    <t>It was a really cool and interesting concept that worked really well 😃</t>
  </si>
  <si>
    <t>Great layout!</t>
  </si>
  <si>
    <t>Test phone had bad colours. Some information would be meaningless even to a technical viewer. Scripts.com Bee Movie By Jerry Seinfeld  NARRATOR: (Black screen with text; The sound of buzzing bees can be heard) According to all known laws of aviation,  : there is no way a bee should be able to fly.  : Its wings are too small to get its fat little body off the ground.  : The bee, of course, flies anyway  : because bees don't care what humans think is impossible. BARRY BENSON: (Barry is picking out a shirt) Yellow, black. Yellow, black. Yellow, black. Yellow, black.  : Ooh, black and yellow! Let's shake it up a little. JANET BENSON: Barry! Breakfast is ready! BARRY: Coming!  : Hang on a second. (Barry uses his antenna like a phone)  : Hello? ADAM FLAYMAN:  (Through phone) - Barry? BARRY: - Adam? ADAM: - Can you believe this is happening? BARRY: - I can't. I'll pick you up. (Barry flies down the stairs)  : MARTIN BENSON: Looking sharp. JANET: Use the stairs. Your father paid good money for those. BARRY: Sorry. I'm excited. MARTIN: Here's the graduate. We're very proud of you, son.  : A perfect report card, all B's. JANET: Very proud. (Rubs Barry's hair) BARRY= Ma! I got a thing going here. JANET: - You got lint on your fuzz. BARRY: - Ow! That's me!  JANET: - Wave to us! We'll be in row 118,000. - Bye! (Barry flies out the door) JANET: Barry, I told you, stop flying in the house! (Barry drives through the hive,and is waved at by Adam who is reading a newspaper) BARRY== - Hey, Adam. ADAM: - Hey, Barry. (Adam gets in Barry's car)  : - Is that fuzz gel? BARRY: - A little. Special day, graduation. ADAM: Never thought I'd make it. (Barry pulls away from the house and continues driving) BARRY: Three days grade school, three days high school... ADAM: Those were awkward. BARRY: Three days college. I'm glad I took a day and hitchhiked around the hive. ADAM== You did come back different. (Barry and Adam pass by Artie, who is jogging) ARTIE: - Hi, Barry!  BARRY: - Artie, growing a mustache? Looks good. ADAM: - Hear about Frankie? BARRY: - Yeah. ADAM== - You going to the funeral? BARRY: - No, I'm not going to his funeral.  : Everybody knows, sting someone, you die.  : Don't waste it on a squirrel. Such a hothead. ADAM: I guess he could have just gotten out of the way. (The car does a barrel roll on the loop-shaped bridge and lands on the highway)  : I love this incorporating an amusement park into our regular day. BARRY: I guess that's why they say we don't need vacations. (Barry parallel parks the car and together they fly over the graduating students) Boy, quite a bit of pomp... under the circumstances. (Barry and Adam sit down and put on their hats)  : - Well, Adam, today we are men.  ADAM: - We are! BARRY= - Bee-men. =ADAM= - Amen! BARRY AND ADAM: Hallelujah! (Barry and Adam both have a happy spasm) ANNOUNCER: Students, faculty, distinguished bees,  : please welcome Dean Buzzwell. DEAN BUZZWELL: Welcome, New Hive Oity graduating class of...  : ...9:  : That concludes our ceremonies.  : And begins your career at Honex Industries! ADAM: Will we pick our job today? (Adam and Barry get into a tour bus) BARRY= I heard it's just orientation. (Tour buses rise out of the ground and the students are automatically loaded into the buses) TOUR GUIDE: Heads up! Here we go.  ANNOUNCER: Keep your hands and antennas inside the tram at all times. BARRY: - Wonder what it'll be like? ADAM: - A little scary. TOUR GUIDE== Welcome to Honex, a division of Honesco  : and a part of the Hexagon Group. Barry: This is it! BARRY AND ADAM: Wow. BARRY: Wow. (The bus drives down a road an on either side are the Bee's massive complicated Honey-making machines) TOUR GUIDE: We know that you, as a bee, have worked your whole life  : to get to the point where you can work for your whole life.  : Honey begins when our valiant Pollen Jocks bring the nectar to the hive.  : Our top-secret formula  : is automatically color-corrected,  scent-adjusted and bubble-contoured  : into th</t>
  </si>
  <si>
    <t>All added together</t>
  </si>
  <si>
    <t>divided by 21</t>
  </si>
  <si>
    <t>Multiplied by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</si>
</sst>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49" fontId="0" fillId="0" borderId="0" xfId="0" applyNumberFormat="1"/>
  </cellXfs>
  <cellStyles count="1">
    <cellStyle name="Normal" xfId="0" builtinId="0"/>
  </cellStyles>
  <dxfs count="29">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164" formatCode="m/d/yy\ h:mm:ss"/>
    </dxf>
    <dxf>
      <numFmt numFmtId="164" formatCode="m/d/yy\ h:mm:ss"/>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W23" totalsRowCount="1">
  <autoFilter ref="A1:W22" xr:uid="{00000000-0009-0000-0100-000001000000}"/>
  <tableColumns count="23">
    <tableColumn id="1" xr3:uid="{00000000-0010-0000-0000-000001000000}" name="Id" dataDxfId="28">
      <extLst>
        <ext xmlns:xlmsforms="http://schemas.microsoft.com/office/spreadsheetml/2023/msForms" uri="{FCC71383-01E1-4257-9335-427F07BE8D7F}">
          <xlmsforms:question id="id"/>
        </ext>
      </extLst>
    </tableColumn>
    <tableColumn id="2" xr3:uid="{00000000-0010-0000-0000-000002000000}" name="Start time" dataDxfId="26" totalsRowDxfId="27">
      <extLst>
        <ext xmlns:xlmsforms="http://schemas.microsoft.com/office/spreadsheetml/2023/msForms" uri="{FCC71383-01E1-4257-9335-427F07BE8D7F}">
          <xlmsforms:question id="startDate"/>
        </ext>
      </extLst>
    </tableColumn>
    <tableColumn id="3" xr3:uid="{00000000-0010-0000-0000-000003000000}" name="Completion time" dataDxfId="24" totalsRowDxfId="25">
      <extLst>
        <ext xmlns:xlmsforms="http://schemas.microsoft.com/office/spreadsheetml/2023/msForms" uri="{FCC71383-01E1-4257-9335-427F07BE8D7F}">
          <xlmsforms:question id="submitDate"/>
        </ext>
      </extLst>
    </tableColumn>
    <tableColumn id="4" xr3:uid="{00000000-0010-0000-0000-000004000000}" name="Email" dataDxfId="22" totalsRowDxfId="23">
      <extLst>
        <ext xmlns:xlmsforms="http://schemas.microsoft.com/office/spreadsheetml/2023/msForms" uri="{FCC71383-01E1-4257-9335-427F07BE8D7F}">
          <xlmsforms:question id="responder"/>
        </ext>
      </extLst>
    </tableColumn>
    <tableColumn id="5" xr3:uid="{00000000-0010-0000-0000-000005000000}" name="Name" dataDxfId="20" totalsRowDxfId="21">
      <extLst>
        <ext xmlns:xlmsforms="http://schemas.microsoft.com/office/spreadsheetml/2023/msForms" uri="{FCC71383-01E1-4257-9335-427F07BE8D7F}">
          <xlmsforms:question id="responderName"/>
        </ext>
      </extLst>
    </tableColumn>
    <tableColumn id="6" xr3:uid="{00000000-0010-0000-0000-000006000000}" name="What is the research about?_x000a__x000a_We invite you to participate in a research project about analyzing how best to extract features from a QR code to determine if the embedded content within is malicious or " dataDxfId="18" totalsRowDxfId="19">
      <extLst>
        <ext xmlns:xlmsforms="http://schemas.microsoft.com/office/spreadsheetml/2023/msForms" uri="{FCC71383-01E1-4257-9335-427F07BE8D7F}">
          <xlmsforms:question id="r114048ebbdf44726bf52478057ee693a"/>
        </ext>
      </extLst>
    </tableColumn>
    <tableColumn id="7" xr3:uid="{00000000-0010-0000-0000-000007000000}" name="I think that I would like to use this app frequently. 1 - Strongly Disagree, 5 - Strongly Agree" totalsRowFunction="custom" dataDxfId="17">
      <totalsRowFormula>SUM(G2:G22)</totalsRowFormula>
      <extLst>
        <ext xmlns:xlmsforms="http://schemas.microsoft.com/office/spreadsheetml/2023/msForms" uri="{FCC71383-01E1-4257-9335-427F07BE8D7F}">
          <xlmsforms:question id="re9558eabbfed423999ebc44f903b51a5"/>
        </ext>
      </extLst>
    </tableColumn>
    <tableColumn id="8" xr3:uid="{00000000-0010-0000-0000-000008000000}" name="I found the app unnecessarily complex. 1 - Strongly Disagree, 5 - Strongly Agree_x000a_" dataDxfId="16">
      <extLst>
        <ext xmlns:xlmsforms="http://schemas.microsoft.com/office/spreadsheetml/2023/msForms" uri="{FCC71383-01E1-4257-9335-427F07BE8D7F}">
          <xlmsforms:question id="r4d11f0727f014593a30397f3e8a4938c"/>
        </ext>
      </extLst>
    </tableColumn>
    <tableColumn id="9" xr3:uid="{00000000-0010-0000-0000-000009000000}" name="I thought the app was easy to use. 1 - Strongly Disagree, 5 - Strongly Agree_x000a_" totalsRowFunction="custom" dataDxfId="15">
      <totalsRowFormula>SUM(I2:I22)</totalsRowFormula>
      <extLst>
        <ext xmlns:xlmsforms="http://schemas.microsoft.com/office/spreadsheetml/2023/msForms" uri="{FCC71383-01E1-4257-9335-427F07BE8D7F}">
          <xlmsforms:question id="rb9c7d5d96029456daa3100d3b4adfd9f"/>
        </ext>
      </extLst>
    </tableColumn>
    <tableColumn id="10" xr3:uid="{00000000-0010-0000-0000-00000A000000}" name="I think that I would need the support of a technical person to be able to use this app. 1 - Strongly Disagree, 5 - Strongly Agree_x000a_" dataDxfId="14">
      <extLst>
        <ext xmlns:xlmsforms="http://schemas.microsoft.com/office/spreadsheetml/2023/msForms" uri="{FCC71383-01E1-4257-9335-427F07BE8D7F}">
          <xlmsforms:question id="r3a1b77529f644848af775adfb0a19317"/>
        </ext>
      </extLst>
    </tableColumn>
    <tableColumn id="11" xr3:uid="{00000000-0010-0000-0000-00000B000000}" name="I found the various functions in this app were well integrated. 1 - Strongly Disagree, 5 - Strongly Agree_x000a_" totalsRowFunction="custom" dataDxfId="13">
      <totalsRowFormula>SUM(K2:K22)</totalsRowFormula>
      <extLst>
        <ext xmlns:xlmsforms="http://schemas.microsoft.com/office/spreadsheetml/2023/msForms" uri="{FCC71383-01E1-4257-9335-427F07BE8D7F}">
          <xlmsforms:question id="rf38df05bfb364f49a82114521f8a4c99"/>
        </ext>
      </extLst>
    </tableColumn>
    <tableColumn id="12" xr3:uid="{00000000-0010-0000-0000-00000C000000}" name="I thought there was too much inconsistency in this app. 1 - Strongly Disagree, 5 - Strongly Agree_x000a_" dataDxfId="12">
      <extLst>
        <ext xmlns:xlmsforms="http://schemas.microsoft.com/office/spreadsheetml/2023/msForms" uri="{FCC71383-01E1-4257-9335-427F07BE8D7F}">
          <xlmsforms:question id="r20c5314311cc4c5ca8a8377f132904db"/>
        </ext>
      </extLst>
    </tableColumn>
    <tableColumn id="13" xr3:uid="{00000000-0010-0000-0000-00000D000000}" name="I would imagine that most people would learn to use this app very quickly. 1 - Strongly Disagree, 5 - Strongly Agree_x000a_" totalsRowFunction="custom" dataDxfId="11">
      <totalsRowFormula>SUM(M2:M22)</totalsRowFormula>
      <extLst>
        <ext xmlns:xlmsforms="http://schemas.microsoft.com/office/spreadsheetml/2023/msForms" uri="{FCC71383-01E1-4257-9335-427F07BE8D7F}">
          <xlmsforms:question id="rab4ce54d9902453da59bf9d1757e758f"/>
        </ext>
      </extLst>
    </tableColumn>
    <tableColumn id="14" xr3:uid="{00000000-0010-0000-0000-00000E000000}" name="I found the app very slow to use. 1 - Strongly Disagree, 5 - Strongly Agree_x000a_" dataDxfId="10">
      <extLst>
        <ext xmlns:xlmsforms="http://schemas.microsoft.com/office/spreadsheetml/2023/msForms" uri="{FCC71383-01E1-4257-9335-427F07BE8D7F}">
          <xlmsforms:question id="r7f8a95c176b94863a489e3cf4b0ecb9c"/>
        </ext>
      </extLst>
    </tableColumn>
    <tableColumn id="15" xr3:uid="{00000000-0010-0000-0000-00000F000000}" name="I felt very confident using the app. 1 - Strongly Disagree, 5 - Strongly Agree_x000a_" totalsRowFunction="custom" dataDxfId="9">
      <totalsRowFormula>SUM(O2:O22)</totalsRowFormula>
      <extLst>
        <ext xmlns:xlmsforms="http://schemas.microsoft.com/office/spreadsheetml/2023/msForms" uri="{FCC71383-01E1-4257-9335-427F07BE8D7F}">
          <xlmsforms:question id="r005d4d0987f645a2bc1ca6113ef6c3d9"/>
        </ext>
      </extLst>
    </tableColumn>
    <tableColumn id="16" xr3:uid="{00000000-0010-0000-0000-000010000000}" name="I needed to learn a lot of things before I could get going with this app. 1 - Strongly Disagree, 5 - Strongly Agree_x000a_" dataDxfId="8">
      <extLst>
        <ext xmlns:xlmsforms="http://schemas.microsoft.com/office/spreadsheetml/2023/msForms" uri="{FCC71383-01E1-4257-9335-427F07BE8D7F}">
          <xlmsforms:question id="r00f3d01f86564f9cb46542c8b8bcde31"/>
        </ext>
      </extLst>
    </tableColumn>
    <tableColumn id="17" xr3:uid="{00000000-0010-0000-0000-000011000000}" name="Did the time to scan a QR code affect your patience? 1 - Strongly Disagree, 5 - Strongly Agree" dataDxfId="7">
      <extLst>
        <ext xmlns:xlmsforms="http://schemas.microsoft.com/office/spreadsheetml/2023/msForms" uri="{FCC71383-01E1-4257-9335-427F07BE8D7F}">
          <xlmsforms:question id="r076e0c8e854b4332ac1ae53818ced5e7"/>
        </ext>
      </extLst>
    </tableColumn>
    <tableColumn id="18" xr3:uid="{00000000-0010-0000-0000-000012000000}" name="Are the colours used within the app easy to view? 1 - Strongly Disagree, 5 - Strongly Agree" dataDxfId="6">
      <extLst>
        <ext xmlns:xlmsforms="http://schemas.microsoft.com/office/spreadsheetml/2023/msForms" uri="{FCC71383-01E1-4257-9335-427F07BE8D7F}">
          <xlmsforms:question id="r1c40163da64648b6a52f99e0f4855c8e"/>
        </ext>
      </extLst>
    </tableColumn>
    <tableColumn id="19" xr3:uid="{00000000-0010-0000-0000-000013000000}" name="Do you understand the purpose behind the colour choices in the app? 1 - Strongly Disagree, 5 - Strongly Agree" dataDxfId="5">
      <extLst>
        <ext xmlns:xlmsforms="http://schemas.microsoft.com/office/spreadsheetml/2023/msForms" uri="{FCC71383-01E1-4257-9335-427F07BE8D7F}">
          <xlmsforms:question id="rde9791f85caa44109c402d34d66fe141"/>
        </ext>
      </extLst>
    </tableColumn>
    <tableColumn id="20" xr3:uid="{00000000-0010-0000-0000-000014000000}" name="Do you understand the purpose and various features within the app?  1 - Strongly Disagree, 5 - Strongly Agree" dataDxfId="4">
      <extLst>
        <ext xmlns:xlmsforms="http://schemas.microsoft.com/office/spreadsheetml/2023/msForms" uri="{FCC71383-01E1-4257-9335-427F07BE8D7F}">
          <xlmsforms:question id="r9aafc7a8ab8f4b41a3d64ea52500339b"/>
        </ext>
      </extLst>
    </tableColumn>
    <tableColumn id="21" xr3:uid="{00000000-0010-0000-0000-000015000000}" name="Does the additional information about the website's contents add value to the app? 1 - Strongly Disagree, 5 - Strongly Agree " dataDxfId="3">
      <extLst>
        <ext xmlns:xlmsforms="http://schemas.microsoft.com/office/spreadsheetml/2023/msForms" uri="{FCC71383-01E1-4257-9335-427F07BE8D7F}">
          <xlmsforms:question id="r0a1d13ae82e540408d23da465edabc62"/>
        </ext>
      </extLst>
    </tableColumn>
    <tableColumn id="22" xr3:uid="{00000000-0010-0000-0000-000016000000}" name="Would you use this app in everyday life? 1 - Strongly Disagree, 5 - Strongly Agree " dataDxfId="2">
      <extLst>
        <ext xmlns:xlmsforms="http://schemas.microsoft.com/office/spreadsheetml/2023/msForms" uri="{FCC71383-01E1-4257-9335-427F07BE8D7F}">
          <xlmsforms:question id="r9ee67e5fdb344a4e80742a3e8b4f6c62"/>
        </ext>
      </extLst>
    </tableColumn>
    <tableColumn id="23" xr3:uid="{00000000-0010-0000-0000-000017000000}" name="Any additional comments?" dataDxfId="0" totalsRowDxfId="1">
      <extLst>
        <ext xmlns:xlmsforms="http://schemas.microsoft.com/office/spreadsheetml/2023/msForms" uri="{FCC71383-01E1-4257-9335-427F07BE8D7F}">
          <xlmsforms:question id="r060e0d35a2d04b18b65404dea976ba66"/>
        </ext>
      </extLst>
    </tableColumn>
  </tableColumns>
  <tableStyleInfo name="TableStyleMedium2" showFirstColumn="0" showLastColumn="0" showRowStripes="1" showColumnStripes="0"/>
  <extLst>
    <ext xmlns:xlmsforms="http://schemas.microsoft.com/office/spreadsheetml/2023/msForms" uri="{839C7E11-91E4-4DBD-9C5D-0DEA604FA9AC}">
      <xlmsforms:msForm id="uhrLqo_zDkGRU8FqAOv0zBGhktS097VFloZZknBeCENUNkhJRzQ4QjJGOTlHQlNKTTRIUlpXODdTTC4u" isFormConnected="1" maxResponseId="24"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r114048ebbdf44726bf52478057ee693a</xlmsforms:syncedQuestionId>
        <xlmsforms:syncedQuestionId>re9558eabbfed423999ebc44f903b51a5</xlmsforms:syncedQuestionId>
        <xlmsforms:syncedQuestionId>r4d11f0727f014593a30397f3e8a4938c</xlmsforms:syncedQuestionId>
        <xlmsforms:syncedQuestionId>rb9c7d5d96029456daa3100d3b4adfd9f</xlmsforms:syncedQuestionId>
        <xlmsforms:syncedQuestionId>r3a1b77529f644848af775adfb0a19317</xlmsforms:syncedQuestionId>
        <xlmsforms:syncedQuestionId>rf38df05bfb364f49a82114521f8a4c99</xlmsforms:syncedQuestionId>
        <xlmsforms:syncedQuestionId>r20c5314311cc4c5ca8a8377f132904db</xlmsforms:syncedQuestionId>
        <xlmsforms:syncedQuestionId>rab4ce54d9902453da59bf9d1757e758f</xlmsforms:syncedQuestionId>
        <xlmsforms:syncedQuestionId>r7f8a95c176b94863a489e3cf4b0ecb9c</xlmsforms:syncedQuestionId>
        <xlmsforms:syncedQuestionId>r005d4d0987f645a2bc1ca6113ef6c3d9</xlmsforms:syncedQuestionId>
        <xlmsforms:syncedQuestionId>r00f3d01f86564f9cb46542c8b8bcde31</xlmsforms:syncedQuestionId>
        <xlmsforms:syncedQuestionId>r076e0c8e854b4332ac1ae53818ced5e7</xlmsforms:syncedQuestionId>
        <xlmsforms:syncedQuestionId>r1c40163da64648b6a52f99e0f4855c8e</xlmsforms:syncedQuestionId>
        <xlmsforms:syncedQuestionId>rde9791f85caa44109c402d34d66fe141</xlmsforms:syncedQuestionId>
        <xlmsforms:syncedQuestionId>r9aafc7a8ab8f4b41a3d64ea52500339b</xlmsforms:syncedQuestionId>
        <xlmsforms:syncedQuestionId>r0a1d13ae82e540408d23da465edabc62</xlmsforms:syncedQuestionId>
        <xlmsforms:syncedQuestionId>r9ee67e5fdb344a4e80742a3e8b4f6c62</xlmsforms:syncedQuestionId>
        <xlmsforms:syncedQuestionId>r060e0d35a2d04b18b65404dea976ba66</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9"/>
  <sheetViews>
    <sheetView tabSelected="1" topLeftCell="D1" workbookViewId="0">
      <selection activeCell="H30" sqref="H30"/>
    </sheetView>
  </sheetViews>
  <sheetFormatPr defaultRowHeight="15"/>
  <cols>
    <col min="1" max="23" width="20"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4</v>
      </c>
      <c r="B2" s="1">
        <v>45360.576782407406</v>
      </c>
      <c r="C2" s="1">
        <v>45360.610856481479</v>
      </c>
      <c r="D2" t="s">
        <v>23</v>
      </c>
      <c r="F2" t="s">
        <v>24</v>
      </c>
      <c r="G2">
        <v>4</v>
      </c>
      <c r="H2">
        <v>2</v>
      </c>
      <c r="I2">
        <v>4</v>
      </c>
      <c r="J2">
        <v>3</v>
      </c>
      <c r="K2">
        <v>4</v>
      </c>
      <c r="L2">
        <v>1</v>
      </c>
      <c r="M2">
        <v>5</v>
      </c>
      <c r="N2">
        <v>3</v>
      </c>
      <c r="O2">
        <v>4</v>
      </c>
      <c r="P2">
        <v>2</v>
      </c>
      <c r="Q2">
        <v>1</v>
      </c>
      <c r="R2">
        <v>4</v>
      </c>
      <c r="S2">
        <v>4</v>
      </c>
      <c r="T2">
        <v>5</v>
      </c>
      <c r="U2">
        <v>4</v>
      </c>
      <c r="V2">
        <v>4</v>
      </c>
      <c r="W2" t="s">
        <v>25</v>
      </c>
    </row>
    <row r="3" spans="1:23">
      <c r="A3">
        <v>5</v>
      </c>
      <c r="B3" s="1">
        <v>45362.518993055557</v>
      </c>
      <c r="C3" s="1">
        <v>45362.525312500002</v>
      </c>
      <c r="D3" t="s">
        <v>23</v>
      </c>
      <c r="F3" t="s">
        <v>24</v>
      </c>
      <c r="G3">
        <v>5</v>
      </c>
      <c r="H3">
        <v>2</v>
      </c>
      <c r="I3">
        <v>5</v>
      </c>
      <c r="J3">
        <v>1</v>
      </c>
      <c r="K3">
        <v>4</v>
      </c>
      <c r="L3">
        <v>1</v>
      </c>
      <c r="M3">
        <v>5</v>
      </c>
      <c r="N3">
        <v>1</v>
      </c>
      <c r="O3">
        <v>5</v>
      </c>
      <c r="P3">
        <v>1</v>
      </c>
      <c r="Q3">
        <v>1</v>
      </c>
      <c r="R3">
        <v>3</v>
      </c>
      <c r="S3">
        <v>4</v>
      </c>
      <c r="T3">
        <v>4</v>
      </c>
      <c r="U3">
        <v>4</v>
      </c>
      <c r="V3">
        <v>5</v>
      </c>
      <c r="W3" t="s">
        <v>26</v>
      </c>
    </row>
    <row r="4" spans="1:23">
      <c r="A4">
        <v>6</v>
      </c>
      <c r="B4" s="1">
        <v>45362.61923611111</v>
      </c>
      <c r="C4" s="1">
        <v>45362.621736111112</v>
      </c>
      <c r="D4" t="s">
        <v>23</v>
      </c>
      <c r="F4" t="s">
        <v>24</v>
      </c>
      <c r="G4">
        <v>5</v>
      </c>
      <c r="H4">
        <v>1</v>
      </c>
      <c r="I4">
        <v>5</v>
      </c>
      <c r="J4">
        <v>1</v>
      </c>
      <c r="K4">
        <v>4</v>
      </c>
      <c r="L4">
        <v>1</v>
      </c>
      <c r="M4">
        <v>5</v>
      </c>
      <c r="N4">
        <v>1</v>
      </c>
      <c r="O4">
        <v>5</v>
      </c>
      <c r="P4">
        <v>1</v>
      </c>
      <c r="Q4">
        <v>1</v>
      </c>
      <c r="R4">
        <v>5</v>
      </c>
      <c r="S4">
        <v>3</v>
      </c>
      <c r="T4">
        <v>5</v>
      </c>
      <c r="U4">
        <v>5</v>
      </c>
      <c r="V4">
        <v>5</v>
      </c>
      <c r="W4" t="s">
        <v>27</v>
      </c>
    </row>
    <row r="5" spans="1:23">
      <c r="A5">
        <v>7</v>
      </c>
      <c r="B5" s="1">
        <v>45362.63894675926</v>
      </c>
      <c r="C5" s="1">
        <v>45362.641203703701</v>
      </c>
      <c r="D5" t="s">
        <v>23</v>
      </c>
      <c r="F5" t="s">
        <v>24</v>
      </c>
      <c r="G5">
        <v>4</v>
      </c>
      <c r="H5">
        <v>1</v>
      </c>
      <c r="I5">
        <v>5</v>
      </c>
      <c r="J5">
        <v>1</v>
      </c>
      <c r="K5">
        <v>5</v>
      </c>
      <c r="L5">
        <v>1</v>
      </c>
      <c r="M5">
        <v>4</v>
      </c>
      <c r="N5">
        <v>1</v>
      </c>
      <c r="O5">
        <v>5</v>
      </c>
      <c r="P5">
        <v>2</v>
      </c>
      <c r="Q5">
        <v>2</v>
      </c>
      <c r="R5">
        <v>5</v>
      </c>
      <c r="S5">
        <v>3</v>
      </c>
      <c r="T5">
        <v>5</v>
      </c>
      <c r="U5">
        <v>5</v>
      </c>
      <c r="V5">
        <v>5</v>
      </c>
      <c r="W5" t="s">
        <v>28</v>
      </c>
    </row>
    <row r="6" spans="1:23">
      <c r="A6">
        <v>8</v>
      </c>
      <c r="B6" s="1">
        <v>45362.64267361111</v>
      </c>
      <c r="C6" s="1">
        <v>45362.644988425927</v>
      </c>
      <c r="D6" t="s">
        <v>23</v>
      </c>
      <c r="F6" t="s">
        <v>24</v>
      </c>
      <c r="G6">
        <v>4</v>
      </c>
      <c r="H6">
        <v>1</v>
      </c>
      <c r="I6">
        <v>5</v>
      </c>
      <c r="J6">
        <v>1</v>
      </c>
      <c r="K6">
        <v>5</v>
      </c>
      <c r="L6">
        <v>1</v>
      </c>
      <c r="M6">
        <v>5</v>
      </c>
      <c r="N6">
        <v>1</v>
      </c>
      <c r="O6">
        <v>5</v>
      </c>
      <c r="P6">
        <v>1</v>
      </c>
      <c r="Q6">
        <v>1</v>
      </c>
      <c r="R6">
        <v>4</v>
      </c>
      <c r="S6">
        <v>3</v>
      </c>
      <c r="T6">
        <v>5</v>
      </c>
      <c r="U6">
        <v>5</v>
      </c>
      <c r="V6">
        <v>5</v>
      </c>
    </row>
    <row r="7" spans="1:23">
      <c r="A7">
        <v>9</v>
      </c>
      <c r="B7" s="1">
        <v>45362.650034722225</v>
      </c>
      <c r="C7" s="1">
        <v>45362.65148148148</v>
      </c>
      <c r="D7" t="s">
        <v>23</v>
      </c>
      <c r="F7" t="s">
        <v>24</v>
      </c>
      <c r="G7">
        <v>4</v>
      </c>
      <c r="H7">
        <v>2</v>
      </c>
      <c r="I7">
        <v>5</v>
      </c>
      <c r="J7">
        <v>2</v>
      </c>
      <c r="K7">
        <v>5</v>
      </c>
      <c r="L7">
        <v>1</v>
      </c>
      <c r="M7">
        <v>5</v>
      </c>
      <c r="N7">
        <v>1</v>
      </c>
      <c r="O7">
        <v>5</v>
      </c>
      <c r="P7">
        <v>2</v>
      </c>
      <c r="Q7">
        <v>1</v>
      </c>
      <c r="R7">
        <v>5</v>
      </c>
      <c r="S7">
        <v>2</v>
      </c>
      <c r="T7">
        <v>4</v>
      </c>
      <c r="U7">
        <v>4</v>
      </c>
      <c r="V7">
        <v>4</v>
      </c>
    </row>
    <row r="8" spans="1:23">
      <c r="A8">
        <v>10</v>
      </c>
      <c r="B8" s="1">
        <v>45362.675821759258</v>
      </c>
      <c r="C8" s="1">
        <v>45362.677384259259</v>
      </c>
      <c r="D8" t="s">
        <v>23</v>
      </c>
      <c r="F8" t="s">
        <v>24</v>
      </c>
      <c r="G8">
        <v>4</v>
      </c>
      <c r="H8">
        <v>1</v>
      </c>
      <c r="I8">
        <v>5</v>
      </c>
      <c r="J8">
        <v>1</v>
      </c>
      <c r="K8">
        <v>4</v>
      </c>
      <c r="L8">
        <v>1</v>
      </c>
      <c r="M8">
        <v>4</v>
      </c>
      <c r="N8">
        <v>1</v>
      </c>
      <c r="O8">
        <v>5</v>
      </c>
      <c r="P8">
        <v>1</v>
      </c>
      <c r="Q8">
        <v>1</v>
      </c>
      <c r="R8">
        <v>4</v>
      </c>
      <c r="S8">
        <v>3</v>
      </c>
      <c r="T8">
        <v>4</v>
      </c>
      <c r="U8">
        <v>5</v>
      </c>
      <c r="V8">
        <v>5</v>
      </c>
      <c r="W8" t="s">
        <v>29</v>
      </c>
    </row>
    <row r="9" spans="1:23">
      <c r="A9">
        <v>11</v>
      </c>
      <c r="B9" s="1">
        <v>45364.429942129631</v>
      </c>
      <c r="C9" s="1">
        <v>45364.438020833331</v>
      </c>
      <c r="D9" t="s">
        <v>23</v>
      </c>
      <c r="F9" t="s">
        <v>24</v>
      </c>
      <c r="G9">
        <v>5</v>
      </c>
      <c r="H9">
        <v>1</v>
      </c>
      <c r="I9">
        <v>5</v>
      </c>
      <c r="J9">
        <v>1</v>
      </c>
      <c r="K9">
        <v>5</v>
      </c>
      <c r="L9">
        <v>1</v>
      </c>
      <c r="M9">
        <v>5</v>
      </c>
      <c r="N9">
        <v>1</v>
      </c>
      <c r="O9">
        <v>5</v>
      </c>
      <c r="P9">
        <v>1</v>
      </c>
      <c r="Q9">
        <v>1</v>
      </c>
      <c r="R9">
        <v>5</v>
      </c>
      <c r="S9">
        <v>5</v>
      </c>
      <c r="T9">
        <v>5</v>
      </c>
      <c r="U9">
        <v>5</v>
      </c>
      <c r="V9">
        <v>5</v>
      </c>
    </row>
    <row r="10" spans="1:23">
      <c r="A10">
        <v>12</v>
      </c>
      <c r="B10" s="1">
        <v>45364.44226851852</v>
      </c>
      <c r="C10" s="1">
        <v>45364.443506944444</v>
      </c>
      <c r="D10" t="s">
        <v>23</v>
      </c>
      <c r="F10" t="s">
        <v>24</v>
      </c>
      <c r="G10">
        <v>4</v>
      </c>
      <c r="H10">
        <v>5</v>
      </c>
      <c r="I10">
        <v>5</v>
      </c>
      <c r="J10">
        <v>2</v>
      </c>
      <c r="K10">
        <v>5</v>
      </c>
      <c r="L10">
        <v>2</v>
      </c>
      <c r="M10">
        <v>5</v>
      </c>
      <c r="N10">
        <v>3</v>
      </c>
      <c r="O10">
        <v>5</v>
      </c>
      <c r="P10">
        <v>1</v>
      </c>
      <c r="Q10">
        <v>1</v>
      </c>
      <c r="R10">
        <v>5</v>
      </c>
      <c r="S10">
        <v>4</v>
      </c>
      <c r="T10">
        <v>5</v>
      </c>
      <c r="U10">
        <v>5</v>
      </c>
      <c r="V10">
        <v>3</v>
      </c>
    </row>
    <row r="11" spans="1:23">
      <c r="A11">
        <v>13</v>
      </c>
      <c r="B11" s="1">
        <v>45364.442395833335</v>
      </c>
      <c r="C11" s="1">
        <v>45364.444409722222</v>
      </c>
      <c r="D11" t="s">
        <v>23</v>
      </c>
      <c r="F11" t="s">
        <v>24</v>
      </c>
      <c r="G11">
        <v>5</v>
      </c>
      <c r="H11">
        <v>1</v>
      </c>
      <c r="I11">
        <v>5</v>
      </c>
      <c r="J11">
        <v>1</v>
      </c>
      <c r="K11">
        <v>5</v>
      </c>
      <c r="L11">
        <v>1</v>
      </c>
      <c r="M11">
        <v>5</v>
      </c>
      <c r="N11">
        <v>1</v>
      </c>
      <c r="O11">
        <v>5</v>
      </c>
      <c r="P11">
        <v>1</v>
      </c>
      <c r="Q11">
        <v>1</v>
      </c>
      <c r="R11">
        <v>5</v>
      </c>
      <c r="S11">
        <v>5</v>
      </c>
      <c r="T11">
        <v>5</v>
      </c>
      <c r="U11">
        <v>5</v>
      </c>
      <c r="V11">
        <v>5</v>
      </c>
      <c r="W11" t="s">
        <v>30</v>
      </c>
    </row>
    <row r="12" spans="1:23">
      <c r="A12">
        <v>14</v>
      </c>
      <c r="B12" s="1">
        <v>45364.442280092589</v>
      </c>
      <c r="C12" s="1">
        <v>45364.444467592592</v>
      </c>
      <c r="D12" t="s">
        <v>23</v>
      </c>
      <c r="F12" t="s">
        <v>24</v>
      </c>
      <c r="G12">
        <v>5</v>
      </c>
      <c r="H12">
        <v>2</v>
      </c>
      <c r="I12">
        <v>5</v>
      </c>
      <c r="J12">
        <v>2</v>
      </c>
      <c r="K12">
        <v>5</v>
      </c>
      <c r="L12">
        <v>1</v>
      </c>
      <c r="M12">
        <v>5</v>
      </c>
      <c r="N12">
        <v>1</v>
      </c>
      <c r="O12">
        <v>5</v>
      </c>
      <c r="P12">
        <v>2</v>
      </c>
      <c r="Q12">
        <v>1</v>
      </c>
      <c r="R12">
        <v>4</v>
      </c>
      <c r="S12">
        <v>4</v>
      </c>
      <c r="T12">
        <v>4</v>
      </c>
      <c r="U12">
        <v>5</v>
      </c>
      <c r="V12">
        <v>4</v>
      </c>
      <c r="W12" t="s">
        <v>31</v>
      </c>
    </row>
    <row r="13" spans="1:23">
      <c r="A13">
        <v>15</v>
      </c>
      <c r="B13" s="1">
        <v>45364.442141203705</v>
      </c>
      <c r="C13" s="1">
        <v>45364.444675925923</v>
      </c>
      <c r="D13" t="s">
        <v>23</v>
      </c>
      <c r="F13" t="s">
        <v>24</v>
      </c>
      <c r="G13">
        <v>5</v>
      </c>
      <c r="H13">
        <v>1</v>
      </c>
      <c r="I13">
        <v>5</v>
      </c>
      <c r="J13">
        <v>1</v>
      </c>
      <c r="K13">
        <v>5</v>
      </c>
      <c r="L13">
        <v>1</v>
      </c>
      <c r="M13">
        <v>5</v>
      </c>
      <c r="N13">
        <v>1</v>
      </c>
      <c r="O13">
        <v>5</v>
      </c>
      <c r="P13">
        <v>1</v>
      </c>
      <c r="Q13">
        <v>1</v>
      </c>
      <c r="R13">
        <v>5</v>
      </c>
      <c r="S13">
        <v>5</v>
      </c>
      <c r="T13">
        <v>5</v>
      </c>
      <c r="U13">
        <v>5</v>
      </c>
      <c r="V13">
        <v>5</v>
      </c>
      <c r="W13" t="s">
        <v>32</v>
      </c>
    </row>
    <row r="14" spans="1:23">
      <c r="A14">
        <v>16</v>
      </c>
      <c r="B14" s="1">
        <v>45364.442349537036</v>
      </c>
      <c r="C14" s="1">
        <v>45364.444837962961</v>
      </c>
      <c r="D14" t="s">
        <v>23</v>
      </c>
      <c r="F14" t="s">
        <v>24</v>
      </c>
      <c r="G14">
        <v>5</v>
      </c>
      <c r="H14">
        <v>2</v>
      </c>
      <c r="I14">
        <v>5</v>
      </c>
      <c r="J14">
        <v>1</v>
      </c>
      <c r="K14">
        <v>5</v>
      </c>
      <c r="L14">
        <v>1</v>
      </c>
      <c r="M14">
        <v>5</v>
      </c>
      <c r="N14">
        <v>1</v>
      </c>
      <c r="O14">
        <v>5</v>
      </c>
      <c r="P14">
        <v>1</v>
      </c>
      <c r="Q14">
        <v>1</v>
      </c>
      <c r="R14">
        <v>5</v>
      </c>
      <c r="S14">
        <v>3</v>
      </c>
      <c r="T14">
        <v>5</v>
      </c>
      <c r="U14">
        <v>5</v>
      </c>
      <c r="V14">
        <v>4</v>
      </c>
      <c r="W14" t="s">
        <v>33</v>
      </c>
    </row>
    <row r="15" spans="1:23">
      <c r="A15">
        <v>17</v>
      </c>
      <c r="B15" s="1">
        <v>45364.445300925923</v>
      </c>
      <c r="C15" s="1">
        <v>45364.447615740741</v>
      </c>
      <c r="D15" t="s">
        <v>23</v>
      </c>
      <c r="F15" t="s">
        <v>24</v>
      </c>
      <c r="G15">
        <v>4</v>
      </c>
      <c r="H15">
        <v>1</v>
      </c>
      <c r="I15">
        <v>5</v>
      </c>
      <c r="J15">
        <v>1</v>
      </c>
      <c r="K15">
        <v>4</v>
      </c>
      <c r="L15">
        <v>2</v>
      </c>
      <c r="M15">
        <v>5</v>
      </c>
      <c r="N15">
        <v>2</v>
      </c>
      <c r="O15">
        <v>5</v>
      </c>
      <c r="P15">
        <v>1</v>
      </c>
      <c r="Q15">
        <v>2</v>
      </c>
      <c r="R15">
        <v>3</v>
      </c>
      <c r="S15">
        <v>5</v>
      </c>
      <c r="T15">
        <v>4</v>
      </c>
      <c r="U15">
        <v>4</v>
      </c>
      <c r="V15">
        <v>4</v>
      </c>
    </row>
    <row r="16" spans="1:23">
      <c r="A16">
        <v>18</v>
      </c>
      <c r="B16" s="1">
        <v>45364.445370370369</v>
      </c>
      <c r="C16" s="1">
        <v>45364.447638888887</v>
      </c>
      <c r="D16" t="s">
        <v>23</v>
      </c>
      <c r="F16" t="s">
        <v>24</v>
      </c>
      <c r="G16">
        <v>4</v>
      </c>
      <c r="H16">
        <v>1</v>
      </c>
      <c r="I16">
        <v>5</v>
      </c>
      <c r="J16">
        <v>1</v>
      </c>
      <c r="K16">
        <v>4</v>
      </c>
      <c r="L16">
        <v>1</v>
      </c>
      <c r="M16">
        <v>5</v>
      </c>
      <c r="N16">
        <v>1</v>
      </c>
      <c r="O16">
        <v>4</v>
      </c>
      <c r="P16">
        <v>2</v>
      </c>
      <c r="Q16">
        <v>5</v>
      </c>
      <c r="R16">
        <v>5</v>
      </c>
      <c r="S16">
        <v>4</v>
      </c>
      <c r="T16">
        <v>4</v>
      </c>
      <c r="U16">
        <v>5</v>
      </c>
      <c r="V16">
        <v>4</v>
      </c>
      <c r="W16" t="s">
        <v>34</v>
      </c>
    </row>
    <row r="17" spans="1:23">
      <c r="A17">
        <v>19</v>
      </c>
      <c r="B17" s="1">
        <v>45364.445347222223</v>
      </c>
      <c r="C17" s="1">
        <v>45364.447708333333</v>
      </c>
      <c r="D17" t="s">
        <v>23</v>
      </c>
      <c r="F17" t="s">
        <v>24</v>
      </c>
      <c r="G17">
        <v>5</v>
      </c>
      <c r="H17">
        <v>1</v>
      </c>
      <c r="I17">
        <v>5</v>
      </c>
      <c r="J17">
        <v>1</v>
      </c>
      <c r="K17">
        <v>4</v>
      </c>
      <c r="L17">
        <v>1</v>
      </c>
      <c r="M17">
        <v>5</v>
      </c>
      <c r="N17">
        <v>3</v>
      </c>
      <c r="O17">
        <v>5</v>
      </c>
      <c r="P17">
        <v>1</v>
      </c>
      <c r="Q17">
        <v>1</v>
      </c>
      <c r="R17">
        <v>5</v>
      </c>
      <c r="S17">
        <v>5</v>
      </c>
      <c r="T17">
        <v>5</v>
      </c>
      <c r="U17">
        <v>5</v>
      </c>
      <c r="V17">
        <v>5</v>
      </c>
    </row>
    <row r="18" spans="1:23">
      <c r="A18">
        <v>20</v>
      </c>
      <c r="B18" s="1">
        <v>45364.450358796297</v>
      </c>
      <c r="C18" s="1">
        <v>45364.451423611114</v>
      </c>
      <c r="D18" t="s">
        <v>23</v>
      </c>
      <c r="F18" t="s">
        <v>24</v>
      </c>
      <c r="G18">
        <v>5</v>
      </c>
      <c r="H18">
        <v>1</v>
      </c>
      <c r="I18">
        <v>5</v>
      </c>
      <c r="J18">
        <v>1</v>
      </c>
      <c r="K18">
        <v>5</v>
      </c>
      <c r="L18">
        <v>1</v>
      </c>
      <c r="M18">
        <v>5</v>
      </c>
      <c r="N18">
        <v>1</v>
      </c>
      <c r="O18">
        <v>5</v>
      </c>
      <c r="P18">
        <v>1</v>
      </c>
      <c r="Q18">
        <v>1</v>
      </c>
      <c r="R18">
        <v>5</v>
      </c>
      <c r="S18">
        <v>5</v>
      </c>
      <c r="T18">
        <v>5</v>
      </c>
      <c r="U18">
        <v>5</v>
      </c>
      <c r="V18">
        <v>5</v>
      </c>
    </row>
    <row r="19" spans="1:23">
      <c r="A19">
        <v>21</v>
      </c>
      <c r="B19" s="1">
        <v>45364.450358796297</v>
      </c>
      <c r="C19" s="1">
        <v>45364.451886574076</v>
      </c>
      <c r="D19" t="s">
        <v>23</v>
      </c>
      <c r="F19" t="s">
        <v>24</v>
      </c>
      <c r="G19">
        <v>5</v>
      </c>
      <c r="H19">
        <v>1</v>
      </c>
      <c r="I19">
        <v>5</v>
      </c>
      <c r="J19">
        <v>1</v>
      </c>
      <c r="K19">
        <v>5</v>
      </c>
      <c r="L19">
        <v>1</v>
      </c>
      <c r="M19">
        <v>5</v>
      </c>
      <c r="N19">
        <v>1</v>
      </c>
      <c r="O19">
        <v>5</v>
      </c>
      <c r="P19">
        <v>1</v>
      </c>
      <c r="Q19">
        <v>1</v>
      </c>
      <c r="R19">
        <v>5</v>
      </c>
      <c r="S19">
        <v>5</v>
      </c>
      <c r="T19">
        <v>5</v>
      </c>
      <c r="U19">
        <v>5</v>
      </c>
      <c r="V19">
        <v>5</v>
      </c>
      <c r="W19" t="s">
        <v>35</v>
      </c>
    </row>
    <row r="20" spans="1:23">
      <c r="A20">
        <v>22</v>
      </c>
      <c r="B20" s="1">
        <v>45364.439629629633</v>
      </c>
      <c r="C20" s="1">
        <v>45364.545312499999</v>
      </c>
      <c r="D20" t="s">
        <v>23</v>
      </c>
      <c r="F20" t="s">
        <v>24</v>
      </c>
      <c r="G20">
        <v>5</v>
      </c>
      <c r="H20">
        <v>1</v>
      </c>
      <c r="I20">
        <v>5</v>
      </c>
      <c r="J20">
        <v>1</v>
      </c>
      <c r="K20">
        <v>5</v>
      </c>
      <c r="L20">
        <v>1</v>
      </c>
      <c r="M20">
        <v>5</v>
      </c>
      <c r="N20">
        <v>1</v>
      </c>
      <c r="O20">
        <v>5</v>
      </c>
      <c r="P20">
        <v>1</v>
      </c>
      <c r="Q20">
        <v>3</v>
      </c>
      <c r="R20">
        <v>5</v>
      </c>
      <c r="S20">
        <v>2</v>
      </c>
      <c r="T20">
        <v>5</v>
      </c>
      <c r="U20">
        <v>5</v>
      </c>
      <c r="V20">
        <v>5</v>
      </c>
    </row>
    <row r="21" spans="1:23">
      <c r="A21">
        <v>23</v>
      </c>
      <c r="B21" s="1">
        <v>45364.782824074071</v>
      </c>
      <c r="C21" s="1">
        <v>45364.783888888887</v>
      </c>
      <c r="D21" t="s">
        <v>23</v>
      </c>
      <c r="F21" t="s">
        <v>24</v>
      </c>
      <c r="G21">
        <v>5</v>
      </c>
      <c r="H21">
        <v>1</v>
      </c>
      <c r="I21">
        <v>5</v>
      </c>
      <c r="J21">
        <v>1</v>
      </c>
      <c r="K21">
        <v>5</v>
      </c>
      <c r="L21">
        <v>1</v>
      </c>
      <c r="M21">
        <v>5</v>
      </c>
      <c r="N21">
        <v>1</v>
      </c>
      <c r="O21">
        <v>5</v>
      </c>
      <c r="P21">
        <v>1</v>
      </c>
      <c r="Q21">
        <v>2</v>
      </c>
      <c r="R21">
        <v>4</v>
      </c>
      <c r="S21">
        <v>3</v>
      </c>
      <c r="T21">
        <v>5</v>
      </c>
      <c r="U21">
        <v>5</v>
      </c>
      <c r="V21">
        <v>5</v>
      </c>
    </row>
    <row r="22" spans="1:23">
      <c r="A22">
        <v>24</v>
      </c>
      <c r="B22" s="1">
        <v>45365.694201388891</v>
      </c>
      <c r="C22" s="1">
        <v>45365.698761574073</v>
      </c>
      <c r="D22" t="s">
        <v>23</v>
      </c>
      <c r="F22" t="s">
        <v>24</v>
      </c>
      <c r="G22">
        <v>2</v>
      </c>
      <c r="H22">
        <v>2</v>
      </c>
      <c r="I22">
        <v>5</v>
      </c>
      <c r="J22">
        <v>2</v>
      </c>
      <c r="K22">
        <v>5</v>
      </c>
      <c r="L22">
        <v>1</v>
      </c>
      <c r="M22">
        <v>4</v>
      </c>
      <c r="N22">
        <v>3</v>
      </c>
      <c r="O22">
        <v>4</v>
      </c>
      <c r="P22">
        <v>1</v>
      </c>
      <c r="Q22">
        <v>1</v>
      </c>
      <c r="R22">
        <v>3</v>
      </c>
      <c r="S22">
        <v>5</v>
      </c>
      <c r="T22">
        <v>4</v>
      </c>
      <c r="U22">
        <v>3</v>
      </c>
      <c r="V22">
        <v>3</v>
      </c>
      <c r="W22" t="s">
        <v>36</v>
      </c>
    </row>
    <row r="23" spans="1:23">
      <c r="B23" s="1"/>
      <c r="C23" s="1"/>
      <c r="D23" s="2"/>
      <c r="E23" s="2"/>
      <c r="F23" s="2"/>
      <c r="G23">
        <f>SUM(G2:G22)</f>
        <v>94</v>
      </c>
      <c r="I23">
        <f t="shared" ref="H23:P23" si="0">SUM(I2:I22)</f>
        <v>104</v>
      </c>
      <c r="K23">
        <f t="shared" si="0"/>
        <v>98</v>
      </c>
      <c r="M23">
        <f t="shared" si="0"/>
        <v>102</v>
      </c>
      <c r="O23">
        <f t="shared" si="0"/>
        <v>102</v>
      </c>
      <c r="W23" s="2"/>
    </row>
    <row r="24" spans="1:23">
      <c r="G24">
        <f>SUM(94-21)</f>
        <v>73</v>
      </c>
      <c r="H24" cm="1">
        <f t="array" ref="H24">SUM(5-H2:H22)</f>
        <v>74</v>
      </c>
      <c r="I24">
        <f>SUM(104-21)</f>
        <v>83</v>
      </c>
      <c r="J24" cm="1">
        <f t="array" ref="J24">SUM(5-J2:J22)</f>
        <v>78</v>
      </c>
      <c r="K24">
        <f>SUM(98-21)</f>
        <v>77</v>
      </c>
      <c r="L24" cm="1">
        <f t="array" ref="L24">SUM(5-L2:L22)</f>
        <v>82</v>
      </c>
      <c r="M24">
        <f>SUM(102 -21)</f>
        <v>81</v>
      </c>
      <c r="N24" cm="1">
        <f t="array" ref="N24">SUM(5-N2:N22)</f>
        <v>75</v>
      </c>
      <c r="O24">
        <v>81</v>
      </c>
      <c r="P24" cm="1">
        <f t="array" ref="P24">SUM(5-P2:P22)</f>
        <v>79</v>
      </c>
    </row>
    <row r="27" spans="1:23">
      <c r="G27" t="s">
        <v>37</v>
      </c>
      <c r="H27">
        <f>SUM(G24:P24)</f>
        <v>783</v>
      </c>
    </row>
    <row r="28" spans="1:23">
      <c r="G28" t="s">
        <v>38</v>
      </c>
      <c r="H28">
        <f>SUM(H27/21)</f>
        <v>37.285714285714285</v>
      </c>
    </row>
    <row r="29" spans="1:23">
      <c r="G29" t="s">
        <v>39</v>
      </c>
      <c r="H29">
        <f>SUM(H28*2.5)</f>
        <v>93.214285714285708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JACK CAVAR</cp:lastModifiedBy>
  <cp:revision/>
  <dcterms:created xsi:type="dcterms:W3CDTF">2024-03-15T14:14:13Z</dcterms:created>
  <dcterms:modified xsi:type="dcterms:W3CDTF">2024-03-15T14:30:27Z</dcterms:modified>
  <cp:category/>
  <cp:contentStatus/>
</cp:coreProperties>
</file>